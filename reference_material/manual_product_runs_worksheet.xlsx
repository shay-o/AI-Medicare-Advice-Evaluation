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ssion Log" sheetId="2" state="visible" r:id="rId2"/>
    <sheet name="Medicare-Only" sheetId="3" state="visible" r:id="rId3"/>
    <sheet name="Dual-Eligible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i val="1"/>
      <sz val="10"/>
    </font>
    <font>
      <name val="Arial"/>
      <color rgb="00000000"/>
      <sz val="10"/>
    </font>
    <font>
      <name val="Arial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0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worksheet</author>
  </authors>
  <commentList>
    <comment ref="A1" authorId="0" shapeId="0">
      <text>
        <t>Your own id, e.g. CHATGPT-MO-01. Used in the scenario sheets.</t>
      </text>
    </comment>
    <comment ref="B1" authorId="0" shapeId="0">
      <text>
        <t>Date of the conversation, YYYY-MM-DD.</t>
      </text>
    </comment>
    <comment ref="C1" authorId="0" shapeId="0">
      <text>
        <t>ChatGPT.com, Claude.ai, or Google.com.</t>
      </text>
    </comment>
    <comment ref="D1" authorId="0" shapeId="0">
      <text>
        <t>What the product says it is running. Note this is often unreliable.</t>
      </text>
    </comment>
    <comment ref="E1" authorId="0" shapeId="0">
      <text>
        <t>Free, Plus, Pro, etc. Affects which model actually serves you.</t>
      </text>
    </comment>
    <comment ref="F1" authorId="0" shapeId="0">
      <text>
        <t>medicare_only or dual_eligible.</t>
      </text>
    </comment>
    <comment ref="G1" authorId="0" shapeId="0">
      <text>
        <t>Yes/No. Must be Yes for the run to be comparable.</t>
      </text>
    </comment>
    <comment ref="H1" authorId="0" shapeId="0">
      <text>
        <t>Yes/No. Each scenario needs a fresh conversation.</t>
      </text>
    </comment>
    <comment ref="I1" authorId="0" shapeId="0">
      <text>
        <t>Yes/No.</t>
      </text>
    </comment>
    <comment ref="J1" authorId="0" shapeId="0">
      <text>
        <t>The location you supplied when asked.</t>
      </text>
    </comment>
    <comment ref="K1" authorId="0" shapeId="0">
      <text>
        <t>Anything that broke protocol: a retry, a refusal, a lost connection.</t>
      </text>
    </comment>
    <comment ref="L1" authorId="0" shapeId="0">
      <text>
        <t>Anything else worth knowing about this session.</t>
      </text>
    </comment>
  </commentList>
</comments>
</file>

<file path=xl/comments/comment2.xml><?xml version="1.0" encoding="utf-8"?>
<comments xmlns="http://schemas.openxmlformats.org/spreadsheetml/2006/main">
  <authors>
    <author>worksheet</author>
  </authors>
  <commentList>
    <comment ref="A6" authorId="0" shapeId="0">
      <text>
        <t>Must match a session_id in the Session Log.</t>
      </text>
    </comment>
    <comment ref="B6" authorId="0" shapeId="0">
      <text>
        <t>Conversation turn number. Pre-filled.</t>
      </text>
    </comment>
    <comment ref="C6" authorId="0" shapeId="0">
      <text>
        <t>SHIP study question number from eAppendix 1 or 2. Blank means the study does not number this turn.</t>
      </text>
    </comment>
    <comment ref="D6" authorId="0" shapeId="0">
      <text>
        <t>Rubric group used for scoring. 'not scored' turns are still asked and recorded, they just get no verdict.</t>
      </text>
    </comment>
    <comment ref="E6" authorId="0" shapeId="0">
      <text>
        <t>Ask this EXACTLY as written. Pre-filled from the study script.</t>
      </text>
    </comment>
    <comment ref="F6" authorId="0" shapeId="0">
      <text>
        <t>Paste the full response verbatim. Do not summarise or trim.</t>
      </text>
    </comment>
    <comment ref="G6" authorId="0" shapeId="0">
      <text>
        <t>Yes/No/Unclear. Did the product search the web for this answer?</t>
      </text>
    </comment>
    <comment ref="H6" authorId="0" shapeId="0">
      <text>
        <t>Source links it showed, one per line. Leave blank if none.</t>
      </text>
    </comment>
    <comment ref="I6" authorId="0" shapeId="0">
      <text>
        <t>Yes/No. Did it ask where you live on this turn?</t>
      </text>
    </comment>
    <comment ref="J6" authorId="0" shapeId="0">
      <text>
        <t>Yes/No. Did it decline to answer or push you elsewhere?</t>
      </text>
    </comment>
    <comment ref="K6" authorId="0" shapeId="0">
      <text>
        <t>Roughly how long it took, if you can tell. Optional.</t>
      </text>
    </comment>
    <comment ref="L6" authorId="0" shapeId="0">
      <text>
        <t>Anything notable: hedging, a disclaimer, a follow-up question.</t>
      </text>
    </comment>
    <comment ref="M6" authorId="0" shapeId="0">
      <text>
        <t>LEAVE BLANK. Filled later by the grading pipeline.</t>
      </text>
    </comment>
    <comment ref="N6" authorId="0" shapeId="0">
      <text>
        <t>LEAVE BLANK. Filled later by the grading pipeline.</t>
      </text>
    </comment>
  </commentList>
</comments>
</file>

<file path=xl/comments/comment3.xml><?xml version="1.0" encoding="utf-8"?>
<comments xmlns="http://schemas.openxmlformats.org/spreadsheetml/2006/main">
  <authors>
    <author>worksheet</author>
  </authors>
  <commentList>
    <comment ref="A6" authorId="0" shapeId="0">
      <text>
        <t>Must match a session_id in the Session Log.</t>
      </text>
    </comment>
    <comment ref="B6" authorId="0" shapeId="0">
      <text>
        <t>Conversation turn number. Pre-filled.</t>
      </text>
    </comment>
    <comment ref="C6" authorId="0" shapeId="0">
      <text>
        <t>SHIP study question number from eAppendix 1 or 2. Blank means the study does not number this turn.</t>
      </text>
    </comment>
    <comment ref="D6" authorId="0" shapeId="0">
      <text>
        <t>Rubric group used for scoring. 'not scored' turns are still asked and recorded, they just get no verdict.</t>
      </text>
    </comment>
    <comment ref="E6" authorId="0" shapeId="0">
      <text>
        <t>Ask this EXACTLY as written. Pre-filled from the study script.</t>
      </text>
    </comment>
    <comment ref="F6" authorId="0" shapeId="0">
      <text>
        <t>Paste the full response verbatim. Do not summarise or trim.</t>
      </text>
    </comment>
    <comment ref="G6" authorId="0" shapeId="0">
      <text>
        <t>Yes/No/Unclear. Did the product search the web for this answer?</t>
      </text>
    </comment>
    <comment ref="H6" authorId="0" shapeId="0">
      <text>
        <t>Source links it showed, one per line. Leave blank if none.</t>
      </text>
    </comment>
    <comment ref="I6" authorId="0" shapeId="0">
      <text>
        <t>Yes/No. Did it ask where you live on this turn?</t>
      </text>
    </comment>
    <comment ref="J6" authorId="0" shapeId="0">
      <text>
        <t>Yes/No. Did it decline to answer or push you elsewhere?</t>
      </text>
    </comment>
    <comment ref="K6" authorId="0" shapeId="0">
      <text>
        <t>Roughly how long it took, if you can tell. Optional.</t>
      </text>
    </comment>
    <comment ref="L6" authorId="0" shapeId="0">
      <text>
        <t>Anything notable: hedging, a disclaimer, a follow-up question.</t>
      </text>
    </comment>
    <comment ref="M6" authorId="0" shapeId="0">
      <text>
        <t>LEAVE BLANK. Filled later by the grading pipeline.</t>
      </text>
    </comment>
    <comment ref="N6" authorId="0" shapeId="0">
      <text>
        <t>LEAVE BLANK. Filled later by the grading pipeline.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workbook</t>
        </is>
      </c>
    </row>
    <row r="2">
      <c r="A2" s="2" t="inlineStr"/>
    </row>
    <row r="3">
      <c r="A3" s="2" t="inlineStr">
        <is>
          <t>This records manual runs through consumer chat products (ChatGPT.com, Claude.ai, Google.com) so they can be compared with the API results in this study.</t>
        </is>
      </c>
    </row>
    <row r="4">
      <c r="A4" s="2" t="inlineStr"/>
    </row>
    <row r="5">
      <c r="A5" s="2" t="inlineStr">
        <is>
          <t>Fill in one Session Log row per conversation, then the response rows for that scenario.</t>
        </is>
      </c>
    </row>
    <row r="6">
      <c r="A6" s="2" t="inlineStr"/>
    </row>
    <row r="7">
      <c r="A7" s="3" t="inlineStr">
        <is>
          <t>Colour key</t>
        </is>
      </c>
    </row>
    <row r="8">
      <c r="A8" s="4" t="inlineStr">
        <is>
          <t>Grey cells are pre-filled. Do not edit them: the question wording is the study script.</t>
        </is>
      </c>
    </row>
    <row r="9">
      <c r="A9" s="5" t="inlineStr">
        <is>
          <t>Yellow cells are for you to fill in.</t>
        </is>
      </c>
    </row>
    <row r="10">
      <c r="A10" s="2" t="inlineStr"/>
    </row>
    <row r="11">
      <c r="A11" s="3" t="inlineStr">
        <is>
          <t>Protocol: this is what makes the results comparable</t>
        </is>
      </c>
    </row>
    <row r="12">
      <c r="A12" s="2" t="inlineStr">
        <is>
          <t>1. Start a NEW chat. Turn OFF memory, custom instructions and personalisation.</t>
        </is>
      </c>
    </row>
    <row r="13">
      <c r="A13" s="6" t="inlineStr">
        <is>
          <t xml:space="preserve">   A product that remembers earlier turns from a previous session is not answering the same question the study asked.</t>
        </is>
      </c>
    </row>
    <row r="14">
      <c r="A14" s="2" t="inlineStr">
        <is>
          <t>2. Paste the opening statement (top of each scenario sheet) as the first message.</t>
        </is>
      </c>
    </row>
    <row r="15">
      <c r="A15" s="2" t="inlineStr">
        <is>
          <t>3. Ask each question EXACTLY as written, in order. Do not paraphrase or reword.</t>
        </is>
      </c>
    </row>
    <row r="16">
      <c r="A16" s="2" t="inlineStr">
        <is>
          <t>4. Do NOT add context, hints, or say you are testing it. Do not tell it to act as a Medicare counselor.</t>
        </is>
      </c>
    </row>
    <row r="17">
      <c r="A17" s="6" t="inlineStr">
        <is>
          <t xml:space="preserve">   Prompting it well would measure something other than what an ordinary person gets.</t>
        </is>
      </c>
    </row>
    <row r="18">
      <c r="A18" s="2" t="inlineStr">
        <is>
          <t>5. If it asks where you live, give the location on the scenario sheet. If it asks anything else, answer only from the persona details, and give nothing that was not requested.</t>
        </is>
      </c>
    </row>
    <row r="19">
      <c r="A19" s="2" t="inlineStr">
        <is>
          <t>6. Paste the FULL response verbatim into response_text. Do not summarise or trim.</t>
        </is>
      </c>
    </row>
    <row r="20">
      <c r="A20" s="2" t="inlineStr">
        <is>
          <t>7. Record whether it searched the web, and paste any source links it showed.</t>
        </is>
      </c>
    </row>
    <row r="21">
      <c r="A21" s="2" t="inlineStr"/>
    </row>
    <row r="22">
      <c r="A22" s="3" t="inlineStr">
        <is>
          <t>Leave the score columns blank</t>
        </is>
      </c>
    </row>
    <row r="23">
      <c r="A23" s="2" t="inlineStr">
        <is>
          <t>score and grader_notes are filled later by the grading pipeline, so that manual runs and API runs are judged by the same rubric. Do not score as you go.</t>
        </is>
      </c>
    </row>
    <row r="24">
      <c r="A24" s="2" t="inlineStr"/>
    </row>
    <row r="25">
      <c r="A25" s="3" t="inlineStr">
        <is>
          <t>Two turns are deliberately not scored</t>
        </is>
      </c>
    </row>
    <row r="26">
      <c r="A26" s="2" t="inlineStr">
        <is>
          <t>They are marked 'not scored' in the question_group column: a location reply, and the second half of a two-part question, which the study scores inside its first part. Still ask them, and still record the response. They just do not get their own verdict.</t>
        </is>
      </c>
    </row>
    <row r="27">
      <c r="A27" s="2" t="inlineStr"/>
    </row>
    <row r="28">
      <c r="A28" s="6" t="inlineStr">
        <is>
          <t>One example row is provided on each scenario sheet, in blue, showing the expected format. Delete it before you start, or overwrite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4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  <col width="30" customWidth="1" min="11" max="11"/>
    <col width="40" customWidth="1" min="12" max="12"/>
  </cols>
  <sheetData>
    <row r="1">
      <c r="A1" s="7" t="inlineStr">
        <is>
          <t>session_id</t>
        </is>
      </c>
      <c r="B1" s="7" t="inlineStr">
        <is>
          <t>date</t>
        </is>
      </c>
      <c r="C1" s="7" t="inlineStr">
        <is>
          <t>product</t>
        </is>
      </c>
      <c r="D1" s="7" t="inlineStr">
        <is>
          <t>model_reported</t>
        </is>
      </c>
      <c r="E1" s="7" t="inlineStr">
        <is>
          <t>account_tier</t>
        </is>
      </c>
      <c r="F1" s="7" t="inlineStr">
        <is>
          <t>scenario</t>
        </is>
      </c>
      <c r="G1" s="7" t="inlineStr">
        <is>
          <t>memory_disabled</t>
        </is>
      </c>
      <c r="H1" s="7" t="inlineStr">
        <is>
          <t>new_chat</t>
        </is>
      </c>
      <c r="I1" s="7" t="inlineStr">
        <is>
          <t>logged_in</t>
        </is>
      </c>
      <c r="J1" s="7" t="inlineStr">
        <is>
          <t>location_given</t>
        </is>
      </c>
      <c r="K1" s="7" t="inlineStr">
        <is>
          <t>interruptions</t>
        </is>
      </c>
      <c r="L1" s="7" t="inlineStr">
        <is>
          <t>notes</t>
        </is>
      </c>
    </row>
    <row r="2">
      <c r="A2" s="8" t="inlineStr">
        <is>
          <t>CHATGPT-MO-01</t>
        </is>
      </c>
      <c r="B2" s="8" t="inlineStr">
        <is>
          <t>2026-08-19</t>
        </is>
      </c>
      <c r="C2" s="8" t="inlineStr">
        <is>
          <t>ChatGPT.com</t>
        </is>
      </c>
      <c r="D2" s="8" t="inlineStr">
        <is>
          <t>GPT-5.6 Luna</t>
        </is>
      </c>
      <c r="E2" s="8" t="inlineStr">
        <is>
          <t>Plus</t>
        </is>
      </c>
      <c r="F2" s="8" t="inlineStr">
        <is>
          <t>medicare_only</t>
        </is>
      </c>
      <c r="G2" s="8" t="inlineStr">
        <is>
          <t>Yes</t>
        </is>
      </c>
      <c r="H2" s="8" t="inlineStr">
        <is>
          <t>Yes</t>
        </is>
      </c>
      <c r="I2" s="8" t="inlineStr">
        <is>
          <t>Yes</t>
        </is>
      </c>
      <c r="J2" s="8" t="inlineStr">
        <is>
          <t>Oakland, CA</t>
        </is>
      </c>
      <c r="K2" s="8" t="inlineStr">
        <is>
          <t>none</t>
        </is>
      </c>
      <c r="L2" s="8" t="inlineStr">
        <is>
          <t>example row, delete or overwrite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</sheetData>
  <dataValidations count="3">
    <dataValidation sqref="G2:H59" showDropDown="0" showInputMessage="0" showErrorMessage="0" allowBlank="1" type="list">
      <formula1>"Yes,No"</formula1>
    </dataValidation>
    <dataValidation sqref="C2:C59" showDropDown="0" showInputMessage="0" showErrorMessage="0" allowBlank="1" type="list">
      <formula1>"ChatGPT.com,Claude.ai,Google.com"</formula1>
    </dataValidation>
    <dataValidation sqref="F2:F59" showDropDown="0" showInputMessage="0" showErrorMessage="0" allowBlank="1" type="list">
      <formula1>"medicare_only,dual_eligible"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8" customWidth="1" min="3" max="3"/>
    <col width="14" customWidth="1" min="4" max="4"/>
    <col width="62" customWidth="1" min="5" max="5"/>
    <col width="70" customWidth="1" min="6" max="6"/>
    <col width="13" customWidth="1" min="7" max="7"/>
    <col width="45" customWidth="1" min="8" max="8"/>
    <col width="17" customWidth="1" min="9" max="9"/>
    <col width="19" customWidth="1" min="10" max="10"/>
    <col width="15" customWidth="1" min="11" max="11"/>
    <col width="40" customWidth="1" min="12" max="12"/>
    <col width="22" customWidth="1" min="13" max="13"/>
    <col width="30" customWidth="1" min="14" max="14"/>
  </cols>
  <sheetData>
    <row r="1">
      <c r="A1" s="10" t="inlineStr">
        <is>
          <t>Medicare-Only scenario</t>
        </is>
      </c>
    </row>
    <row r="2">
      <c r="A2" s="11" t="inlineStr">
        <is>
          <t>OPENING STATEMENT (send this first, before any question):</t>
        </is>
      </c>
    </row>
    <row r="3" ht="30" customHeight="1">
      <c r="A3" s="12" t="inlineStr">
        <is>
          <t>I am turning 65 soon and will be eligible for Medicare. I would like help choosing my coverage. Can you help?</t>
        </is>
      </c>
    </row>
    <row r="4" ht="28" customHeight="1">
      <c r="A4" s="6" t="inlineStr">
        <is>
          <t>Location to give if asked: Oakland, CA  |  Plan asked about: Aetna Medicare Eagle PPO  |  Doctor to ask about: Dr. Jane Sample  |  Persona: Turning 65 in 2 months, just becoming eligible for Medicare (aging in). Relatively healthy, sees physician a few times a year for checkups or minor pr</t>
        </is>
      </c>
    </row>
    <row r="6">
      <c r="A6" s="7" t="inlineStr">
        <is>
          <t>session_id</t>
        </is>
      </c>
      <c r="B6" s="7" t="inlineStr">
        <is>
          <t>turn</t>
        </is>
      </c>
      <c r="C6" s="7" t="inlineStr">
        <is>
          <t>study_q</t>
        </is>
      </c>
      <c r="D6" s="7" t="inlineStr">
        <is>
          <t>question_group</t>
        </is>
      </c>
      <c r="E6" s="7" t="inlineStr">
        <is>
          <t>question_text</t>
        </is>
      </c>
      <c r="F6" s="7" t="inlineStr">
        <is>
          <t>response_text</t>
        </is>
      </c>
      <c r="G6" s="7" t="inlineStr">
        <is>
          <t>searched_web</t>
        </is>
      </c>
      <c r="H6" s="7" t="inlineStr">
        <is>
          <t>citations</t>
        </is>
      </c>
      <c r="I6" s="7" t="inlineStr">
        <is>
          <t>asked_for_location</t>
        </is>
      </c>
      <c r="J6" s="7" t="inlineStr">
        <is>
          <t>refused_or_deflected</t>
        </is>
      </c>
      <c r="K6" s="7" t="inlineStr">
        <is>
          <t>response_seconds</t>
        </is>
      </c>
      <c r="L6" s="7" t="inlineStr">
        <is>
          <t>observations</t>
        </is>
      </c>
      <c r="M6" s="7" t="inlineStr">
        <is>
          <t>score</t>
        </is>
      </c>
      <c r="N6" s="7" t="inlineStr">
        <is>
          <t>grader_notes</t>
        </is>
      </c>
    </row>
    <row r="7">
      <c r="A7" s="13" t="inlineStr">
        <is>
          <t>CHATGPT-MO-01</t>
        </is>
      </c>
      <c r="B7" s="13" t="inlineStr"/>
      <c r="C7" s="13" t="inlineStr"/>
      <c r="D7" s="13" t="inlineStr"/>
      <c r="E7" s="13" t="inlineStr">
        <is>
          <t>(example row, delete or overwrite)</t>
        </is>
      </c>
      <c r="F7" s="13" t="inlineStr">
        <is>
          <t>(paste the model's full reply here)</t>
        </is>
      </c>
      <c r="G7" s="13" t="inlineStr">
        <is>
          <t>Yes</t>
        </is>
      </c>
      <c r="H7" s="13" t="inlineStr">
        <is>
          <t>https://www.medicare.gov/...</t>
        </is>
      </c>
      <c r="I7" s="13" t="inlineStr">
        <is>
          <t>No</t>
        </is>
      </c>
      <c r="J7" s="13" t="inlineStr">
        <is>
          <t>No</t>
        </is>
      </c>
      <c r="K7" s="13" t="inlineStr">
        <is>
          <t>12</t>
        </is>
      </c>
      <c r="L7" s="13" t="inlineStr">
        <is>
          <t>cited two sources</t>
        </is>
      </c>
      <c r="M7" s="13" t="inlineStr"/>
      <c r="N7" s="13" t="inlineStr"/>
    </row>
    <row r="8" ht="42" customHeight="1">
      <c r="A8" s="14" t="n"/>
      <c r="B8" s="15" t="n">
        <v>1</v>
      </c>
      <c r="C8" s="15" t="n">
        <v>1</v>
      </c>
      <c r="D8" s="15" t="inlineStr">
        <is>
          <t>QG1</t>
        </is>
      </c>
      <c r="E8" s="15" t="inlineStr">
        <is>
          <t>When can I select my Medicare coverage plan, and when can I change it later?</t>
        </is>
      </c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42" customHeight="1">
      <c r="A9" s="14" t="n"/>
      <c r="B9" s="15" t="n">
        <v>2</v>
      </c>
      <c r="C9" s="15" t="n">
        <v>2</v>
      </c>
      <c r="D9" s="15" t="inlineStr">
        <is>
          <t>QG9</t>
        </is>
      </c>
      <c r="E9" s="15" t="inlineStr">
        <is>
          <t>Do I have to sign up for Medicare when I turn 65, or can I remain on my employer plan?</t>
        </is>
      </c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42" customHeight="1">
      <c r="A10" s="14" t="n"/>
      <c r="B10" s="15" t="n">
        <v>3</v>
      </c>
      <c r="C10" s="15" t="n">
        <v>3</v>
      </c>
      <c r="D10" s="15" t="inlineStr">
        <is>
          <t>QG10</t>
        </is>
      </c>
      <c r="E10" s="15" t="inlineStr">
        <is>
          <t>I keep hearing about Medicare Advantage. How are Medicare Advantage Plans different from regular Medicare, and what are good and bad about them?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42" customHeight="1">
      <c r="A11" s="14" t="n"/>
      <c r="B11" s="15" t="n">
        <v>4</v>
      </c>
      <c r="C11" s="15" t="n">
        <v>4</v>
      </c>
      <c r="D11" s="15" t="inlineStr">
        <is>
          <t>QG11</t>
        </is>
      </c>
      <c r="E11" s="15" t="inlineStr">
        <is>
          <t>What is a Medicare Supplement Plan, how much do they cost, and when do I enroll?</t>
        </is>
      </c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 ht="42" customHeight="1">
      <c r="A12" s="14" t="n"/>
      <c r="B12" s="15" t="n">
        <v>5</v>
      </c>
      <c r="C12" s="15" t="n">
        <v>5</v>
      </c>
      <c r="D12" s="15" t="inlineStr">
        <is>
          <t>QG12</t>
        </is>
      </c>
      <c r="E12" s="15" t="inlineStr">
        <is>
          <t>Do either regular Medicare, Medicare Advantage Plans, or Medicare Supplement Plans cover long-term care?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42" customHeight="1">
      <c r="A13" s="14" t="n"/>
      <c r="B13" s="15" t="n">
        <v>6</v>
      </c>
      <c r="C13" s="15" t="n">
        <v>6</v>
      </c>
      <c r="D13" s="15" t="inlineStr">
        <is>
          <t>QG13</t>
        </is>
      </c>
      <c r="E13" s="15" t="inlineStr">
        <is>
          <t>What are my options for Medicare prescription drug coverage, and how should I choose?</t>
        </is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42" customHeight="1">
      <c r="A14" s="14" t="n"/>
      <c r="B14" s="15" t="n">
        <v>7</v>
      </c>
      <c r="C14" s="15" t="n">
        <v>7</v>
      </c>
      <c r="D14" s="15" t="inlineStr">
        <is>
          <t>QG14</t>
        </is>
      </c>
      <c r="E14" s="15" t="inlineStr">
        <is>
          <t>My friend told me about Aetna Medicare Eagle PPO. Can you tell me if Dr. Jane Sample is in the network there?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42" customHeight="1">
      <c r="A15" s="14" t="n"/>
      <c r="B15" s="15" t="n">
        <v>8</v>
      </c>
      <c r="C15" s="15" t="n">
        <v>8</v>
      </c>
      <c r="D15" s="15" t="inlineStr">
        <is>
          <t>QG15</t>
        </is>
      </c>
      <c r="E15" s="15" t="inlineStr">
        <is>
          <t>What is the monthly premium for Aetna Medicare Eagle PPO?</t>
        </is>
      </c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 ht="42" customHeight="1">
      <c r="A16" s="14" t="n"/>
      <c r="B16" s="15" t="n">
        <v>9</v>
      </c>
      <c r="C16" s="15" t="n">
        <v>9</v>
      </c>
      <c r="D16" s="15" t="inlineStr">
        <is>
          <t>QG16</t>
        </is>
      </c>
      <c r="E16" s="15" t="inlineStr">
        <is>
          <t>Would Aetna Medicare Eagle PPO let me go out of network?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42" customHeight="1">
      <c r="A17" s="14" t="n"/>
      <c r="B17" s="15" t="n">
        <v>10</v>
      </c>
      <c r="C17" s="15" t="n">
        <v>10</v>
      </c>
      <c r="D17" s="15" t="inlineStr">
        <is>
          <t>QG17</t>
        </is>
      </c>
      <c r="E17" s="15" t="inlineStr">
        <is>
          <t>What is the copay for a primary care doctor visit for Aetna Medicare Eagle PPO?</t>
        </is>
      </c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 ht="42" customHeight="1">
      <c r="A18" s="14" t="n"/>
      <c r="B18" s="15" t="n">
        <v>11</v>
      </c>
      <c r="C18" s="15" t="n">
        <v>11</v>
      </c>
      <c r="D18" s="16" t="inlineStr">
        <is>
          <t>not scored</t>
        </is>
      </c>
      <c r="E18" s="15" t="inlineStr">
        <is>
          <t>What is the copay to see a specialist for Aetna Medicare Eagle PPO?</t>
        </is>
      </c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42" customHeight="1">
      <c r="A19" s="14" t="n"/>
      <c r="B19" s="15" t="n">
        <v>12</v>
      </c>
      <c r="C19" s="15" t="n">
        <v>12</v>
      </c>
      <c r="D19" s="15" t="inlineStr">
        <is>
          <t>QG18</t>
        </is>
      </c>
      <c r="E19" s="15" t="inlineStr">
        <is>
          <t>For Aetna Medicare Eagle PPO, is there a limit on out-of-pocket costs I would have to pay each year?</t>
        </is>
      </c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42" customHeight="1">
      <c r="A20" s="14" t="n"/>
      <c r="B20" s="15" t="n">
        <v>13</v>
      </c>
      <c r="C20" s="15" t="n">
        <v>13</v>
      </c>
      <c r="D20" s="15" t="inlineStr">
        <is>
          <t>QG19</t>
        </is>
      </c>
      <c r="E20" s="15" t="inlineStr">
        <is>
          <t>Does Aetna Medicare Eagle PPO include prescription drug coverage?</t>
        </is>
      </c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42" customHeight="1">
      <c r="A21" s="14" t="n"/>
      <c r="B21" s="15" t="n">
        <v>14</v>
      </c>
      <c r="C21" s="15" t="n">
        <v>14</v>
      </c>
      <c r="D21" s="15" t="inlineStr">
        <is>
          <t>QG20</t>
        </is>
      </c>
      <c r="E21" s="15" t="inlineStr">
        <is>
          <t>I take Lipitor. Is that covered by Aetna Medicare Eagle PPO?</t>
        </is>
      </c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42" customHeight="1">
      <c r="A22" s="14" t="n"/>
      <c r="B22" s="15" t="n">
        <v>15</v>
      </c>
      <c r="C22" s="15" t="inlineStr"/>
      <c r="D22" s="16" t="inlineStr">
        <is>
          <t>not scored</t>
        </is>
      </c>
      <c r="E22" s="15" t="inlineStr">
        <is>
          <t>Is a generic version of Lipitor covered? I would be willing to take that.</t>
        </is>
      </c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42" customHeight="1">
      <c r="A23" s="14" t="n"/>
      <c r="B23" s="15" t="n">
        <v>16</v>
      </c>
      <c r="C23" s="15" t="n">
        <v>15</v>
      </c>
      <c r="D23" s="16" t="inlineStr">
        <is>
          <t>not scored</t>
        </is>
      </c>
      <c r="E23" s="15" t="inlineStr">
        <is>
          <t>How much would Lipitor be out of pocket vs. the generic version?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 ht="42" customHeight="1">
      <c r="A24" s="14" t="n"/>
      <c r="B24" s="15" t="n">
        <v>17</v>
      </c>
      <c r="C24" s="15" t="n">
        <v>16</v>
      </c>
      <c r="D24" s="15" t="inlineStr">
        <is>
          <t>QG2</t>
        </is>
      </c>
      <c r="E24" s="15" t="inlineStr">
        <is>
          <t>I have a friend who does not speak much English. Do you offer Spanish translation services at your location?</t>
        </is>
      </c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6">
      <c r="E26" s="11" t="inlineStr">
        <is>
          <t>Turns with a response recorded:</t>
        </is>
      </c>
      <c r="F26" s="11">
        <f>COUNTA(F8:F24)&amp;" of 17"</f>
        <v/>
      </c>
    </row>
    <row r="27">
      <c r="E27" s="17" t="inlineStr">
        <is>
          <t>Turns still blank:</t>
        </is>
      </c>
      <c r="F27" s="17">
        <f>COUNTBLANK(F8:F24)</f>
        <v/>
      </c>
    </row>
  </sheetData>
  <mergeCells count="2">
    <mergeCell ref="A4:E4"/>
    <mergeCell ref="A3:E3"/>
  </mergeCells>
  <dataValidations count="2">
    <dataValidation sqref="M8:M24" showDropDown="0" showInputMessage="0" showErrorMessage="0" allowBlank="1" type="list">
      <formula1>"accurate_complete,substantive_incomplete,not_substantive,incorrect"</formula1>
    </dataValidation>
    <dataValidation sqref="G8:G24 I8:J24" showDropDown="0" showInputMessage="0" showErrorMessage="0" allowBlank="1" type="list">
      <formula1>"Yes,No,Unclear"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8" customWidth="1" min="3" max="3"/>
    <col width="14" customWidth="1" min="4" max="4"/>
    <col width="62" customWidth="1" min="5" max="5"/>
    <col width="70" customWidth="1" min="6" max="6"/>
    <col width="13" customWidth="1" min="7" max="7"/>
    <col width="45" customWidth="1" min="8" max="8"/>
    <col width="17" customWidth="1" min="9" max="9"/>
    <col width="19" customWidth="1" min="10" max="10"/>
    <col width="15" customWidth="1" min="11" max="11"/>
    <col width="40" customWidth="1" min="12" max="12"/>
    <col width="22" customWidth="1" min="13" max="13"/>
    <col width="30" customWidth="1" min="14" max="14"/>
  </cols>
  <sheetData>
    <row r="1">
      <c r="A1" s="10" t="inlineStr">
        <is>
          <t>Dual-Eligible scenario</t>
        </is>
      </c>
    </row>
    <row r="2">
      <c r="A2" s="11" t="inlineStr">
        <is>
          <t>OPENING STATEMENT (send this first, before any question):</t>
        </is>
      </c>
    </row>
    <row r="3" ht="30" customHeight="1">
      <c r="A3" s="12" t="inlineStr">
        <is>
          <t>I am on Medicare and also have full Medicaid coverage. I would like help understanding my coverage options. Can you help?</t>
        </is>
      </c>
    </row>
    <row r="4" ht="28" customHeight="1">
      <c r="A4" s="6" t="inlineStr">
        <is>
          <t>Location to give if asked: Los Angeles, CA 90012 (Los Angeles County)  |  Doctor to ask about: Dr. Sarah Chen  |  Persona: Dual-eligible beneficiary (Medicare + Medicaid). Has been on Medicare for one year. Currently uses Original Medicare with Medicaid covering cost-shari</t>
        </is>
      </c>
    </row>
    <row r="6">
      <c r="A6" s="7" t="inlineStr">
        <is>
          <t>session_id</t>
        </is>
      </c>
      <c r="B6" s="7" t="inlineStr">
        <is>
          <t>turn</t>
        </is>
      </c>
      <c r="C6" s="7" t="inlineStr">
        <is>
          <t>study_q</t>
        </is>
      </c>
      <c r="D6" s="7" t="inlineStr">
        <is>
          <t>question_group</t>
        </is>
      </c>
      <c r="E6" s="7" t="inlineStr">
        <is>
          <t>question_text</t>
        </is>
      </c>
      <c r="F6" s="7" t="inlineStr">
        <is>
          <t>response_text</t>
        </is>
      </c>
      <c r="G6" s="7" t="inlineStr">
        <is>
          <t>searched_web</t>
        </is>
      </c>
      <c r="H6" s="7" t="inlineStr">
        <is>
          <t>citations</t>
        </is>
      </c>
      <c r="I6" s="7" t="inlineStr">
        <is>
          <t>asked_for_location</t>
        </is>
      </c>
      <c r="J6" s="7" t="inlineStr">
        <is>
          <t>refused_or_deflected</t>
        </is>
      </c>
      <c r="K6" s="7" t="inlineStr">
        <is>
          <t>response_seconds</t>
        </is>
      </c>
      <c r="L6" s="7" t="inlineStr">
        <is>
          <t>observations</t>
        </is>
      </c>
      <c r="M6" s="7" t="inlineStr">
        <is>
          <t>score</t>
        </is>
      </c>
      <c r="N6" s="7" t="inlineStr">
        <is>
          <t>grader_notes</t>
        </is>
      </c>
    </row>
    <row r="7">
      <c r="A7" s="13" t="inlineStr">
        <is>
          <t>CHATGPT-MO-01</t>
        </is>
      </c>
      <c r="B7" s="13" t="inlineStr"/>
      <c r="C7" s="13" t="inlineStr"/>
      <c r="D7" s="13" t="inlineStr"/>
      <c r="E7" s="13" t="inlineStr">
        <is>
          <t>(example row, delete or overwrite)</t>
        </is>
      </c>
      <c r="F7" s="13" t="inlineStr">
        <is>
          <t>(paste the model's full reply here)</t>
        </is>
      </c>
      <c r="G7" s="13" t="inlineStr">
        <is>
          <t>Yes</t>
        </is>
      </c>
      <c r="H7" s="13" t="inlineStr">
        <is>
          <t>https://www.medicare.gov/...</t>
        </is>
      </c>
      <c r="I7" s="13" t="inlineStr">
        <is>
          <t>No</t>
        </is>
      </c>
      <c r="J7" s="13" t="inlineStr">
        <is>
          <t>No</t>
        </is>
      </c>
      <c r="K7" s="13" t="inlineStr">
        <is>
          <t>12</t>
        </is>
      </c>
      <c r="L7" s="13" t="inlineStr">
        <is>
          <t>cited two sources</t>
        </is>
      </c>
      <c r="M7" s="13" t="inlineStr"/>
      <c r="N7" s="13" t="inlineStr"/>
    </row>
    <row r="8" ht="42" customHeight="1">
      <c r="A8" s="14" t="n"/>
      <c r="B8" s="15" t="n">
        <v>1</v>
      </c>
      <c r="C8" s="15" t="n">
        <v>1</v>
      </c>
      <c r="D8" s="15" t="inlineStr">
        <is>
          <t>QG1</t>
        </is>
      </c>
      <c r="E8" s="15" t="inlineStr">
        <is>
          <t>When can I select my Medicare coverage plan, and when can I change it later?</t>
        </is>
      </c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 ht="42" customHeight="1">
      <c r="A9" s="14" t="n"/>
      <c r="B9" s="15" t="n">
        <v>2</v>
      </c>
      <c r="C9" s="15" t="n">
        <v>2</v>
      </c>
      <c r="D9" s="15" t="inlineStr">
        <is>
          <t>QG21</t>
        </is>
      </c>
      <c r="E9" s="15" t="inlineStr">
        <is>
          <t>If I stay eligible for Medicaid, what are my options for enrolling in Medicare?</t>
        </is>
      </c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42" customHeight="1">
      <c r="A10" s="14" t="n"/>
      <c r="B10" s="15" t="n">
        <v>3</v>
      </c>
      <c r="C10" s="15" t="n">
        <v>3</v>
      </c>
      <c r="D10" s="15" t="inlineStr">
        <is>
          <t>QG22</t>
        </is>
      </c>
      <c r="E10" s="15" t="inlineStr">
        <is>
          <t>I saw a commercial about special plans for people with both Medicaid and Medicare. Can you tell me more about them and why I may or may not want to choose one?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42" customHeight="1">
      <c r="A11" s="14" t="n"/>
      <c r="B11" s="15" t="n">
        <v>4</v>
      </c>
      <c r="C11" s="15" t="n">
        <v>4</v>
      </c>
      <c r="D11" s="15" t="inlineStr">
        <is>
          <t>QG23</t>
        </is>
      </c>
      <c r="E11" s="15" t="inlineStr">
        <is>
          <t>Are special plans for people with Medicaid and Medicare available in my area?</t>
        </is>
      </c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 ht="42" customHeight="1">
      <c r="A12" s="14" t="n"/>
      <c r="B12" s="15" t="n">
        <v>5</v>
      </c>
      <c r="C12" s="15" t="inlineStr"/>
      <c r="D12" s="16" t="inlineStr">
        <is>
          <t>not scored</t>
        </is>
      </c>
      <c r="E12" s="15" t="inlineStr">
        <is>
          <t>I live in Los Angeles, CA 90012, in Los Angeles County.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42" customHeight="1">
      <c r="A13" s="14" t="n"/>
      <c r="B13" s="15" t="n">
        <v>6</v>
      </c>
      <c r="C13" s="15" t="n">
        <v>5</v>
      </c>
      <c r="D13" s="15" t="inlineStr">
        <is>
          <t>QG24</t>
        </is>
      </c>
      <c r="E13" s="15" t="inlineStr">
        <is>
          <t>If I ever need long-term care in the future, would it be covered under any of the Medicare options we've talked about?</t>
        </is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42" customHeight="1">
      <c r="A14" s="14" t="n"/>
      <c r="B14" s="15" t="n">
        <v>7</v>
      </c>
      <c r="C14" s="15" t="inlineStr"/>
      <c r="D14" s="16" t="inlineStr">
        <is>
          <t>not scored</t>
        </is>
      </c>
      <c r="E14" s="15" t="inlineStr">
        <is>
          <t>What about Medicaid? If I stay eligible, will Medicaid pay for long-term care?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42" customHeight="1">
      <c r="A15" s="14" t="n"/>
      <c r="B15" s="15" t="n">
        <v>8</v>
      </c>
      <c r="C15" s="15" t="n">
        <v>6</v>
      </c>
      <c r="D15" s="15" t="inlineStr">
        <is>
          <t>QG25</t>
        </is>
      </c>
      <c r="E15" s="15" t="inlineStr">
        <is>
          <t>If I stay eligible for Medicaid, will it pay for my Medicare premiums and cost sharing and deductibles no matter if I choose a Dual Eligible Special Needs Plan, a Medicare Advantage Plan, or regular Medicare?</t>
        </is>
      </c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 ht="42" customHeight="1">
      <c r="A16" s="14" t="n"/>
      <c r="B16" s="15" t="n">
        <v>9</v>
      </c>
      <c r="C16" s="15" t="n">
        <v>7</v>
      </c>
      <c r="D16" s="15" t="inlineStr">
        <is>
          <t>QG26</t>
        </is>
      </c>
      <c r="E16" s="15" t="inlineStr">
        <is>
          <t>I was told that if I'm not eligible for Medicaid, there are other programs to help with out-of-pocket costs for Medicare. My income is $1,600 a month. Would I get any help?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42" customHeight="1">
      <c r="A17" s="14" t="n"/>
      <c r="B17" s="15" t="n">
        <v>10</v>
      </c>
      <c r="C17" s="15" t="n">
        <v>8</v>
      </c>
      <c r="D17" s="15" t="inlineStr">
        <is>
          <t>QG2</t>
        </is>
      </c>
      <c r="E17" s="15" t="inlineStr">
        <is>
          <t>I have a friend who does not speak much English. Do you offer Spanish translation services at your location?</t>
        </is>
      </c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9">
      <c r="E19" s="11" t="inlineStr">
        <is>
          <t>Turns with a response recorded:</t>
        </is>
      </c>
      <c r="F19" s="11">
        <f>COUNTA(F8:F17)&amp;" of 10"</f>
        <v/>
      </c>
    </row>
    <row r="20">
      <c r="E20" s="17" t="inlineStr">
        <is>
          <t>Turns still blank:</t>
        </is>
      </c>
      <c r="F20" s="17">
        <f>COUNTBLANK(F8:F17)</f>
        <v/>
      </c>
    </row>
  </sheetData>
  <mergeCells count="2">
    <mergeCell ref="A4:E4"/>
    <mergeCell ref="A3:E3"/>
  </mergeCells>
  <dataValidations count="2">
    <dataValidation sqref="M8:M17" showDropDown="0" showInputMessage="0" showErrorMessage="0" allowBlank="1" type="list">
      <formula1>"accurate_complete,substantive_incomplete,not_substantive,incorrect"</formula1>
    </dataValidation>
    <dataValidation sqref="G8:G17 I8:J17" showDropDown="0" showInputMessage="0" showErrorMessage="0" allowBlank="1" type="list">
      <formula1>"Yes,No,Unclear"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8" t="inlineStr">
        <is>
          <t>Scoring categories (filled later, not by you)</t>
        </is>
      </c>
    </row>
    <row r="2">
      <c r="A2" s="11" t="inlineStr">
        <is>
          <t>accurate_complete</t>
        </is>
      </c>
      <c r="B2" s="2" t="inlineStr">
        <is>
          <t>The answer is correct and covers everything the rubric requires.</t>
        </is>
      </c>
    </row>
    <row r="3">
      <c r="A3" s="11" t="inlineStr">
        <is>
          <t>substantive_incomplete</t>
        </is>
      </c>
      <c r="B3" s="2" t="inlineStr">
        <is>
          <t>Correct as far as it goes, but misses required detail.</t>
        </is>
      </c>
    </row>
    <row r="4">
      <c r="A4" s="11" t="inlineStr">
        <is>
          <t>not_substantive</t>
        </is>
      </c>
      <c r="B4" s="2" t="inlineStr">
        <is>
          <t>Did not answer: said it did not know, or sent you elsewhere.</t>
        </is>
      </c>
    </row>
    <row r="5">
      <c r="A5" s="11" t="inlineStr">
        <is>
          <t>incorrect</t>
        </is>
      </c>
      <c r="B5" s="2" t="inlineStr">
        <is>
          <t>Gave wrong information material enough to affect a coverage decision.</t>
        </is>
      </c>
    </row>
    <row r="6">
      <c r="A6" s="11" t="inlineStr"/>
      <c r="B6" s="2" t="inlineStr"/>
    </row>
    <row r="7">
      <c r="A7" s="18" t="inlineStr">
        <is>
          <t>Why memory and personalisation must be off</t>
        </is>
      </c>
    </row>
    <row r="8">
      <c r="A8" s="11" t="inlineStr"/>
      <c r="B8" s="2" t="inlineStr">
        <is>
          <t>A product that has learned about you is not answering the question the study asked, and two sessions with different memory are not comparable with each other.</t>
        </is>
      </c>
    </row>
    <row r="9">
      <c r="A9" s="11" t="inlineStr"/>
      <c r="B9" s="2" t="inlineStr"/>
    </row>
    <row r="10">
      <c r="A10" s="18" t="inlineStr">
        <is>
          <t>Why the wording must not change</t>
        </is>
      </c>
    </row>
    <row r="11">
      <c r="A11" s="11" t="inlineStr"/>
      <c r="B11" s="2" t="inlineStr">
        <is>
          <t>The human baseline came from counselors answering these exact questions. Rewording makes the comparison meaningless, and the rubric may no longer apply.</t>
        </is>
      </c>
    </row>
    <row r="12">
      <c r="A12" s="11" t="inlineStr"/>
      <c r="B12" s="2" t="inlineStr"/>
    </row>
    <row r="13">
      <c r="A13" s="18" t="inlineStr">
        <is>
          <t>What 'searched_web' means</t>
        </is>
      </c>
    </row>
    <row r="14">
      <c r="A14" s="11" t="inlineStr"/>
      <c r="B14" s="2" t="inlineStr">
        <is>
          <t>Whether the product looked something up rather than answering from memory. Look for a 'searching the web' indicator, inline source links, or a citation list. In the API results this is detectable from cost and returned citations, so recording it here keeps the two comparable.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2026-09-01T03:34:52Z</dcterms:created>
  <dcterms:modified xsi:type="dcterms:W3CDTF">2026-09-01T03:34:52Z</dcterms:modified>
</cp:coreProperties>
</file>